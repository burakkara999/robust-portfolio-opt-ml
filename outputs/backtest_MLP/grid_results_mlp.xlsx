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burakkara/OZU/CS540/projectCS540/outputs/backtest/"/>
    </mc:Choice>
  </mc:AlternateContent>
  <xr:revisionPtr revIDLastSave="0" documentId="13_ncr:1_{D4A948F8-A4B1-CC4D-9D59-132025955124}" xr6:coauthVersionLast="47" xr6:coauthVersionMax="47" xr10:uidLastSave="{00000000-0000-0000-0000-000000000000}"/>
  <bookViews>
    <workbookView xWindow="0" yWindow="760" windowWidth="30240" windowHeight="18040" activeTab="1" xr2:uid="{00000000-000D-0000-FFFF-FFFF00000000}"/>
  </bookViews>
  <sheets>
    <sheet name="Sheet1" sheetId="1" r:id="rId1"/>
    <sheet name="false" sheetId="2" r:id="rId2"/>
  </sheets>
  <definedNames>
    <definedName name="_xlnm._FilterDatabase" localSheetId="0" hidden="1">Sheet1!$A$1:$F$79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H28" i="2"/>
  <c r="H27" i="2"/>
  <c r="H26" i="2"/>
  <c r="H12" i="2"/>
  <c r="H11" i="2"/>
  <c r="H4" i="2"/>
  <c r="H3" i="2"/>
  <c r="H2" i="2"/>
  <c r="G40" i="2"/>
  <c r="H40" i="2" s="1"/>
  <c r="G39" i="2"/>
  <c r="H39" i="2" s="1"/>
  <c r="G38" i="2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G29" i="2"/>
  <c r="G28" i="2"/>
  <c r="G27" i="2"/>
  <c r="G26" i="2"/>
  <c r="G25" i="2"/>
  <c r="G24" i="2"/>
  <c r="H24" i="2" s="1"/>
  <c r="G23" i="2"/>
  <c r="H23" i="2" s="1"/>
  <c r="G22" i="2"/>
  <c r="G21" i="2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G13" i="2"/>
  <c r="G12" i="2"/>
  <c r="G11" i="2"/>
  <c r="G10" i="2"/>
  <c r="H10" i="2" s="1"/>
  <c r="G9" i="2"/>
  <c r="H9" i="2" s="1"/>
  <c r="G8" i="2"/>
  <c r="H8" i="2" s="1"/>
  <c r="G7" i="2"/>
  <c r="H7" i="2" s="1"/>
  <c r="G6" i="2"/>
  <c r="G5" i="2"/>
  <c r="G4" i="2"/>
  <c r="G3" i="2"/>
  <c r="G2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H25" i="2" l="1"/>
  <c r="H5" i="2"/>
  <c r="H13" i="2"/>
  <c r="K6" i="2" s="1"/>
  <c r="H21" i="2"/>
  <c r="H29" i="2"/>
  <c r="H6" i="2"/>
  <c r="H14" i="2"/>
  <c r="H22" i="2"/>
  <c r="K5" i="2" s="1"/>
  <c r="H30" i="2"/>
  <c r="H38" i="2"/>
  <c r="K4" i="2" l="1"/>
</calcChain>
</file>

<file path=xl/sharedStrings.xml><?xml version="1.0" encoding="utf-8"?>
<sst xmlns="http://schemas.openxmlformats.org/spreadsheetml/2006/main" count="16" uniqueCount="11">
  <si>
    <t>alpha</t>
  </si>
  <si>
    <t>p</t>
  </si>
  <si>
    <t>w</t>
  </si>
  <si>
    <t>top10</t>
  </si>
  <si>
    <t>last_money</t>
  </si>
  <si>
    <t>expected_last_money</t>
  </si>
  <si>
    <t>Alpha</t>
  </si>
  <si>
    <t>realized_profit</t>
  </si>
  <si>
    <t>expected_profit</t>
  </si>
  <si>
    <t>Realization - Expectation Diff</t>
  </si>
  <si>
    <t>Avg R-E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</si>
</sst>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2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9" fontId="1" fillId="0" borderId="2" xfId="1" applyFont="1" applyBorder="1" applyAlignment="1">
      <alignment horizontal="center" vertical="top"/>
    </xf>
    <xf numFmtId="9" fontId="0" fillId="0" borderId="0" xfId="0" applyNumberFormat="1"/>
    <xf numFmtId="0" fontId="3" fillId="0" borderId="3" xfId="0" applyFont="1" applyBorder="1"/>
    <xf numFmtId="0" fontId="3" fillId="0" borderId="4" xfId="0" applyFont="1" applyBorder="1"/>
    <xf numFmtId="0" fontId="0" fillId="0" borderId="5" xfId="0" applyBorder="1"/>
    <xf numFmtId="9" fontId="0" fillId="0" borderId="6" xfId="1" applyFont="1" applyBorder="1"/>
    <xf numFmtId="0" fontId="0" fillId="0" borderId="7" xfId="0" applyBorder="1"/>
    <xf numFmtId="9" fontId="0" fillId="0" borderId="8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0</v>
      </c>
      <c r="B2">
        <v>0.25</v>
      </c>
      <c r="C2">
        <v>20</v>
      </c>
      <c r="D2" t="b">
        <v>0</v>
      </c>
      <c r="E2">
        <v>1901.3540879584241</v>
      </c>
      <c r="F2">
        <v>2328.8513115669198</v>
      </c>
    </row>
    <row r="3" spans="1:6" x14ac:dyDescent="0.2">
      <c r="A3">
        <v>0</v>
      </c>
      <c r="B3">
        <v>0.5</v>
      </c>
      <c r="C3">
        <v>20</v>
      </c>
      <c r="D3" t="b">
        <v>0</v>
      </c>
      <c r="E3">
        <v>1844.2329648387349</v>
      </c>
      <c r="F3">
        <v>2258.8871721475771</v>
      </c>
    </row>
    <row r="4" spans="1:6" hidden="1" x14ac:dyDescent="0.2">
      <c r="A4">
        <v>0</v>
      </c>
      <c r="B4">
        <v>0.5</v>
      </c>
      <c r="C4">
        <v>20</v>
      </c>
      <c r="D4" t="b">
        <v>1</v>
      </c>
      <c r="E4">
        <v>1738.566509583256</v>
      </c>
      <c r="F4">
        <v>1896.4017521263561</v>
      </c>
    </row>
    <row r="5" spans="1:6" hidden="1" x14ac:dyDescent="0.2">
      <c r="A5">
        <v>0</v>
      </c>
      <c r="B5">
        <v>0.8</v>
      </c>
      <c r="C5">
        <v>20</v>
      </c>
      <c r="D5" t="b">
        <v>1</v>
      </c>
      <c r="E5">
        <v>1728.989763332308</v>
      </c>
      <c r="F5">
        <v>1885.955583820537</v>
      </c>
    </row>
    <row r="6" spans="1:6" hidden="1" x14ac:dyDescent="0.2">
      <c r="A6">
        <v>0</v>
      </c>
      <c r="B6">
        <v>0.25</v>
      </c>
      <c r="C6">
        <v>20</v>
      </c>
      <c r="D6" t="b">
        <v>1</v>
      </c>
      <c r="E6">
        <v>1723.410665821822</v>
      </c>
      <c r="F6">
        <v>1879.8699896049279</v>
      </c>
    </row>
    <row r="7" spans="1:6" x14ac:dyDescent="0.2">
      <c r="A7">
        <v>0</v>
      </c>
      <c r="B7">
        <v>0.8</v>
      </c>
      <c r="C7">
        <v>20</v>
      </c>
      <c r="D7" t="b">
        <v>0</v>
      </c>
      <c r="E7">
        <v>1720.005061790584</v>
      </c>
      <c r="F7">
        <v>2105.182095998593</v>
      </c>
    </row>
    <row r="8" spans="1:6" hidden="1" x14ac:dyDescent="0.2">
      <c r="A8">
        <v>0.25</v>
      </c>
      <c r="B8">
        <v>0.25</v>
      </c>
      <c r="C8">
        <v>40</v>
      </c>
      <c r="D8" t="b">
        <v>1</v>
      </c>
      <c r="E8">
        <v>1200.785718635542</v>
      </c>
      <c r="F8">
        <v>1208.384980645777</v>
      </c>
    </row>
    <row r="9" spans="1:6" hidden="1" x14ac:dyDescent="0.2">
      <c r="A9">
        <v>0.25</v>
      </c>
      <c r="B9">
        <v>0.5</v>
      </c>
      <c r="C9">
        <v>40</v>
      </c>
      <c r="D9" t="b">
        <v>1</v>
      </c>
      <c r="E9">
        <v>1195.782216571891</v>
      </c>
      <c r="F9">
        <v>1202.0096634502461</v>
      </c>
    </row>
    <row r="10" spans="1:6" hidden="1" x14ac:dyDescent="0.2">
      <c r="A10">
        <v>0.25</v>
      </c>
      <c r="B10">
        <v>0.8</v>
      </c>
      <c r="C10">
        <v>40</v>
      </c>
      <c r="D10" t="b">
        <v>1</v>
      </c>
      <c r="E10">
        <v>1180.000972445732</v>
      </c>
      <c r="F10">
        <v>1183.7164883702301</v>
      </c>
    </row>
    <row r="11" spans="1:6" hidden="1" x14ac:dyDescent="0.2">
      <c r="A11">
        <v>0.25</v>
      </c>
      <c r="B11">
        <v>0.25</v>
      </c>
      <c r="C11">
        <v>60</v>
      </c>
      <c r="D11" t="b">
        <v>1</v>
      </c>
      <c r="E11">
        <v>1178.092511393244</v>
      </c>
      <c r="F11">
        <v>1191.4232539248881</v>
      </c>
    </row>
    <row r="12" spans="1:6" hidden="1" x14ac:dyDescent="0.2">
      <c r="A12">
        <v>0.25</v>
      </c>
      <c r="B12">
        <v>0.5</v>
      </c>
      <c r="C12">
        <v>60</v>
      </c>
      <c r="D12" t="b">
        <v>1</v>
      </c>
      <c r="E12">
        <v>1172.2923812144279</v>
      </c>
      <c r="F12">
        <v>1184.3789314965661</v>
      </c>
    </row>
    <row r="13" spans="1:6" hidden="1" x14ac:dyDescent="0.2">
      <c r="A13">
        <v>0.25</v>
      </c>
      <c r="B13">
        <v>0.25</v>
      </c>
      <c r="C13">
        <v>80</v>
      </c>
      <c r="D13" t="b">
        <v>1</v>
      </c>
      <c r="E13">
        <v>1169.5106956387481</v>
      </c>
      <c r="F13">
        <v>1179.9800368137089</v>
      </c>
    </row>
    <row r="14" spans="1:6" hidden="1" x14ac:dyDescent="0.2">
      <c r="A14">
        <v>0.25</v>
      </c>
      <c r="B14">
        <v>0.8</v>
      </c>
      <c r="C14">
        <v>60</v>
      </c>
      <c r="D14" t="b">
        <v>1</v>
      </c>
      <c r="E14">
        <v>1167.5390249544639</v>
      </c>
      <c r="F14">
        <v>1177.148802750304</v>
      </c>
    </row>
    <row r="15" spans="1:6" hidden="1" x14ac:dyDescent="0.2">
      <c r="A15">
        <v>0.25</v>
      </c>
      <c r="B15">
        <v>0.5</v>
      </c>
      <c r="C15">
        <v>80</v>
      </c>
      <c r="D15" t="b">
        <v>1</v>
      </c>
      <c r="E15">
        <v>1162.1173270972411</v>
      </c>
      <c r="F15">
        <v>1171.257010600285</v>
      </c>
    </row>
    <row r="16" spans="1:6" hidden="1" x14ac:dyDescent="0.2">
      <c r="A16">
        <v>0.25</v>
      </c>
      <c r="B16">
        <v>0.8</v>
      </c>
      <c r="C16">
        <v>80</v>
      </c>
      <c r="D16" t="b">
        <v>1</v>
      </c>
      <c r="E16">
        <v>1158.508520032618</v>
      </c>
      <c r="F16">
        <v>1165.084726315635</v>
      </c>
    </row>
    <row r="17" spans="1:6" hidden="1" x14ac:dyDescent="0.2">
      <c r="A17">
        <v>0.5</v>
      </c>
      <c r="B17">
        <v>0.25</v>
      </c>
      <c r="C17">
        <v>60</v>
      </c>
      <c r="D17" t="b">
        <v>1</v>
      </c>
      <c r="E17">
        <v>1158.229152770652</v>
      </c>
      <c r="F17">
        <v>1165.147952938459</v>
      </c>
    </row>
    <row r="18" spans="1:6" hidden="1" x14ac:dyDescent="0.2">
      <c r="A18">
        <v>0.5</v>
      </c>
      <c r="B18">
        <v>0.5</v>
      </c>
      <c r="C18">
        <v>60</v>
      </c>
      <c r="D18" t="b">
        <v>1</v>
      </c>
      <c r="E18">
        <v>1150.184724618957</v>
      </c>
      <c r="F18">
        <v>1156.335742056506</v>
      </c>
    </row>
    <row r="19" spans="1:6" hidden="1" x14ac:dyDescent="0.2">
      <c r="A19">
        <v>0.5</v>
      </c>
      <c r="B19">
        <v>0.25</v>
      </c>
      <c r="C19">
        <v>40</v>
      </c>
      <c r="D19" t="b">
        <v>1</v>
      </c>
      <c r="E19">
        <v>1148.5402228258999</v>
      </c>
      <c r="F19">
        <v>1145.2837222770549</v>
      </c>
    </row>
    <row r="20" spans="1:6" hidden="1" x14ac:dyDescent="0.2">
      <c r="A20">
        <v>0.5</v>
      </c>
      <c r="B20">
        <v>0.25</v>
      </c>
      <c r="C20">
        <v>80</v>
      </c>
      <c r="D20" t="b">
        <v>1</v>
      </c>
      <c r="E20">
        <v>1147.8400597493569</v>
      </c>
      <c r="F20">
        <v>1151.2349583380801</v>
      </c>
    </row>
    <row r="21" spans="1:6" hidden="1" x14ac:dyDescent="0.2">
      <c r="A21">
        <v>0.5</v>
      </c>
      <c r="B21">
        <v>0.5</v>
      </c>
      <c r="C21">
        <v>40</v>
      </c>
      <c r="D21" t="b">
        <v>1</v>
      </c>
      <c r="E21">
        <v>1141.6429886739299</v>
      </c>
      <c r="F21">
        <v>1138.066077541755</v>
      </c>
    </row>
    <row r="22" spans="1:6" hidden="1" x14ac:dyDescent="0.2">
      <c r="A22">
        <v>0.5</v>
      </c>
      <c r="B22">
        <v>0.5</v>
      </c>
      <c r="C22">
        <v>80</v>
      </c>
      <c r="D22" t="b">
        <v>1</v>
      </c>
      <c r="E22">
        <v>1141.0715138301921</v>
      </c>
      <c r="F22">
        <v>1143.960067824916</v>
      </c>
    </row>
    <row r="23" spans="1:6" x14ac:dyDescent="0.2">
      <c r="A23">
        <v>0.25</v>
      </c>
      <c r="B23">
        <v>0.25</v>
      </c>
      <c r="C23">
        <v>80</v>
      </c>
      <c r="D23" t="b">
        <v>0</v>
      </c>
      <c r="E23">
        <v>1134.965629945875</v>
      </c>
      <c r="F23">
        <v>1176.256125511575</v>
      </c>
    </row>
    <row r="24" spans="1:6" hidden="1" x14ac:dyDescent="0.2">
      <c r="A24">
        <v>0.5</v>
      </c>
      <c r="B24">
        <v>0.8</v>
      </c>
      <c r="C24">
        <v>60</v>
      </c>
      <c r="D24" t="b">
        <v>1</v>
      </c>
      <c r="E24">
        <v>1132.5305385497729</v>
      </c>
      <c r="F24">
        <v>1137.030549631073</v>
      </c>
    </row>
    <row r="25" spans="1:6" x14ac:dyDescent="0.2">
      <c r="A25">
        <v>0.25</v>
      </c>
      <c r="B25">
        <v>0.5</v>
      </c>
      <c r="C25">
        <v>80</v>
      </c>
      <c r="D25" t="b">
        <v>0</v>
      </c>
      <c r="E25">
        <v>1128.755156119011</v>
      </c>
      <c r="F25">
        <v>1168.023471929894</v>
      </c>
    </row>
    <row r="26" spans="1:6" hidden="1" x14ac:dyDescent="0.2">
      <c r="A26">
        <v>0.5</v>
      </c>
      <c r="B26">
        <v>0.8</v>
      </c>
      <c r="C26">
        <v>40</v>
      </c>
      <c r="D26" t="b">
        <v>1</v>
      </c>
      <c r="E26">
        <v>1127.71293185015</v>
      </c>
      <c r="F26">
        <v>1123.5281706554131</v>
      </c>
    </row>
    <row r="27" spans="1:6" hidden="1" x14ac:dyDescent="0.2">
      <c r="A27">
        <v>0.5</v>
      </c>
      <c r="B27">
        <v>0.8</v>
      </c>
      <c r="C27">
        <v>80</v>
      </c>
      <c r="D27" t="b">
        <v>1</v>
      </c>
      <c r="E27">
        <v>1127.1394710806981</v>
      </c>
      <c r="F27">
        <v>1129.006300250604</v>
      </c>
    </row>
    <row r="28" spans="1:6" x14ac:dyDescent="0.2">
      <c r="A28">
        <v>0.25</v>
      </c>
      <c r="B28">
        <v>0.25</v>
      </c>
      <c r="C28">
        <v>60</v>
      </c>
      <c r="D28" t="b">
        <v>0</v>
      </c>
      <c r="E28">
        <v>1123.4245675669381</v>
      </c>
      <c r="F28">
        <v>1179.245649870214</v>
      </c>
    </row>
    <row r="29" spans="1:6" hidden="1" x14ac:dyDescent="0.2">
      <c r="A29">
        <v>0.9</v>
      </c>
      <c r="B29">
        <v>0.25</v>
      </c>
      <c r="C29">
        <v>40</v>
      </c>
      <c r="D29" t="b">
        <v>1</v>
      </c>
      <c r="E29">
        <v>1121.511824356887</v>
      </c>
      <c r="F29">
        <v>1114.2187279703071</v>
      </c>
    </row>
    <row r="30" spans="1:6" x14ac:dyDescent="0.2">
      <c r="A30">
        <v>0.25</v>
      </c>
      <c r="B30">
        <v>0.5</v>
      </c>
      <c r="C30">
        <v>60</v>
      </c>
      <c r="D30" t="b">
        <v>0</v>
      </c>
      <c r="E30">
        <v>1118.157553839512</v>
      </c>
      <c r="F30">
        <v>1172.013191035001</v>
      </c>
    </row>
    <row r="31" spans="1:6" hidden="1" x14ac:dyDescent="0.2">
      <c r="A31">
        <v>0.9</v>
      </c>
      <c r="B31">
        <v>0.5</v>
      </c>
      <c r="C31">
        <v>40</v>
      </c>
      <c r="D31" t="b">
        <v>1</v>
      </c>
      <c r="E31">
        <v>1116.024691571394</v>
      </c>
      <c r="F31">
        <v>1108.643391218689</v>
      </c>
    </row>
    <row r="32" spans="1:6" x14ac:dyDescent="0.2">
      <c r="A32">
        <v>0.25</v>
      </c>
      <c r="B32">
        <v>0.8</v>
      </c>
      <c r="C32">
        <v>80</v>
      </c>
      <c r="D32" t="b">
        <v>0</v>
      </c>
      <c r="E32">
        <v>1112.7536086298089</v>
      </c>
      <c r="F32">
        <v>1147.936533506112</v>
      </c>
    </row>
    <row r="33" spans="1:6" x14ac:dyDescent="0.2">
      <c r="A33">
        <v>0.5</v>
      </c>
      <c r="B33">
        <v>0.25</v>
      </c>
      <c r="C33">
        <v>60</v>
      </c>
      <c r="D33" t="b">
        <v>0</v>
      </c>
      <c r="E33">
        <v>1110.881028180052</v>
      </c>
      <c r="F33">
        <v>1156.1965279256649</v>
      </c>
    </row>
    <row r="34" spans="1:6" x14ac:dyDescent="0.2">
      <c r="A34">
        <v>0.25</v>
      </c>
      <c r="B34">
        <v>0.8</v>
      </c>
      <c r="C34">
        <v>60</v>
      </c>
      <c r="D34" t="b">
        <v>0</v>
      </c>
      <c r="E34">
        <v>1108.102684538718</v>
      </c>
      <c r="F34">
        <v>1158.041885540759</v>
      </c>
    </row>
    <row r="35" spans="1:6" x14ac:dyDescent="0.2">
      <c r="A35">
        <v>0.5</v>
      </c>
      <c r="B35">
        <v>0.5</v>
      </c>
      <c r="C35">
        <v>60</v>
      </c>
      <c r="D35" t="b">
        <v>0</v>
      </c>
      <c r="E35">
        <v>1107.478434591824</v>
      </c>
      <c r="F35">
        <v>1151.0327147051919</v>
      </c>
    </row>
    <row r="36" spans="1:6" x14ac:dyDescent="0.2">
      <c r="A36">
        <v>0.9</v>
      </c>
      <c r="B36">
        <v>0.25</v>
      </c>
      <c r="C36">
        <v>60</v>
      </c>
      <c r="D36" t="b">
        <v>0</v>
      </c>
      <c r="E36">
        <v>1106.0728209782719</v>
      </c>
      <c r="F36">
        <v>1143.497475203696</v>
      </c>
    </row>
    <row r="37" spans="1:6" hidden="1" x14ac:dyDescent="0.2">
      <c r="A37">
        <v>0.9</v>
      </c>
      <c r="B37">
        <v>0.8</v>
      </c>
      <c r="C37">
        <v>40</v>
      </c>
      <c r="D37" t="b">
        <v>1</v>
      </c>
      <c r="E37">
        <v>1104.7779215240059</v>
      </c>
      <c r="F37">
        <v>1097.256547165008</v>
      </c>
    </row>
    <row r="38" spans="1:6" hidden="1" x14ac:dyDescent="0.2">
      <c r="A38">
        <v>0.9</v>
      </c>
      <c r="B38">
        <v>0.25</v>
      </c>
      <c r="C38">
        <v>60</v>
      </c>
      <c r="D38" t="b">
        <v>1</v>
      </c>
      <c r="E38">
        <v>1103.561848863111</v>
      </c>
      <c r="F38">
        <v>1106.525300297586</v>
      </c>
    </row>
    <row r="39" spans="1:6" x14ac:dyDescent="0.2">
      <c r="A39">
        <v>0.9</v>
      </c>
      <c r="B39">
        <v>0.5</v>
      </c>
      <c r="C39">
        <v>60</v>
      </c>
      <c r="D39" t="b">
        <v>0</v>
      </c>
      <c r="E39">
        <v>1103.3708913640021</v>
      </c>
      <c r="F39">
        <v>1139.47707128039</v>
      </c>
    </row>
    <row r="40" spans="1:6" x14ac:dyDescent="0.2">
      <c r="A40">
        <v>0.5</v>
      </c>
      <c r="B40">
        <v>0.25</v>
      </c>
      <c r="C40">
        <v>80</v>
      </c>
      <c r="D40" t="b">
        <v>0</v>
      </c>
      <c r="E40">
        <v>1100.4750459737991</v>
      </c>
      <c r="F40">
        <v>1124.8946282396689</v>
      </c>
    </row>
    <row r="41" spans="1:6" x14ac:dyDescent="0.2">
      <c r="A41">
        <v>0.5</v>
      </c>
      <c r="B41">
        <v>0.8</v>
      </c>
      <c r="C41">
        <v>60</v>
      </c>
      <c r="D41" t="b">
        <v>0</v>
      </c>
      <c r="E41">
        <v>1100.2171173357931</v>
      </c>
      <c r="F41">
        <v>1139.9204045351689</v>
      </c>
    </row>
    <row r="42" spans="1:6" hidden="1" x14ac:dyDescent="0.2">
      <c r="A42">
        <v>0.9</v>
      </c>
      <c r="B42">
        <v>0.5</v>
      </c>
      <c r="C42">
        <v>60</v>
      </c>
      <c r="D42" t="b">
        <v>1</v>
      </c>
      <c r="E42">
        <v>1098.848891015836</v>
      </c>
      <c r="F42">
        <v>1101.4370209046781</v>
      </c>
    </row>
    <row r="43" spans="1:6" x14ac:dyDescent="0.2">
      <c r="A43">
        <v>0.9</v>
      </c>
      <c r="B43">
        <v>0.8</v>
      </c>
      <c r="C43">
        <v>60</v>
      </c>
      <c r="D43" t="b">
        <v>0</v>
      </c>
      <c r="E43">
        <v>1096.6100439534821</v>
      </c>
      <c r="F43">
        <v>1130.1122272590039</v>
      </c>
    </row>
    <row r="44" spans="1:6" x14ac:dyDescent="0.2">
      <c r="A44">
        <v>0.5</v>
      </c>
      <c r="B44">
        <v>0.5</v>
      </c>
      <c r="C44">
        <v>80</v>
      </c>
      <c r="D44" t="b">
        <v>0</v>
      </c>
      <c r="E44">
        <v>1095.7216902764289</v>
      </c>
      <c r="F44">
        <v>1119.424084605346</v>
      </c>
    </row>
    <row r="45" spans="1:6" x14ac:dyDescent="0.2">
      <c r="A45">
        <v>0.25</v>
      </c>
      <c r="B45">
        <v>0.25</v>
      </c>
      <c r="C45">
        <v>40</v>
      </c>
      <c r="D45" t="b">
        <v>0</v>
      </c>
      <c r="E45">
        <v>1094.4966147457101</v>
      </c>
      <c r="F45">
        <v>1115.7521392307519</v>
      </c>
    </row>
    <row r="46" spans="1:6" x14ac:dyDescent="0.2">
      <c r="A46">
        <v>0.5</v>
      </c>
      <c r="B46">
        <v>0.25</v>
      </c>
      <c r="C46">
        <v>40</v>
      </c>
      <c r="D46" t="b">
        <v>0</v>
      </c>
      <c r="E46">
        <v>1093.1158443244869</v>
      </c>
      <c r="F46">
        <v>1113.6863419660119</v>
      </c>
    </row>
    <row r="47" spans="1:6" x14ac:dyDescent="0.2">
      <c r="A47">
        <v>0.25</v>
      </c>
      <c r="B47">
        <v>0.5</v>
      </c>
      <c r="C47">
        <v>40</v>
      </c>
      <c r="D47" t="b">
        <v>0</v>
      </c>
      <c r="E47">
        <v>1092.2859274930511</v>
      </c>
      <c r="F47">
        <v>1113.0878114017851</v>
      </c>
    </row>
    <row r="48" spans="1:6" x14ac:dyDescent="0.2">
      <c r="A48">
        <v>0.5</v>
      </c>
      <c r="B48">
        <v>0.5</v>
      </c>
      <c r="C48">
        <v>40</v>
      </c>
      <c r="D48" t="b">
        <v>0</v>
      </c>
      <c r="E48">
        <v>1090.9734669908769</v>
      </c>
      <c r="F48">
        <v>1111.1167737461069</v>
      </c>
    </row>
    <row r="49" spans="1:6" x14ac:dyDescent="0.2">
      <c r="A49">
        <v>0.9</v>
      </c>
      <c r="B49">
        <v>0.25</v>
      </c>
      <c r="C49">
        <v>40</v>
      </c>
      <c r="D49" t="b">
        <v>0</v>
      </c>
      <c r="E49">
        <v>1090.5503507672249</v>
      </c>
      <c r="F49">
        <v>1109.6415503353501</v>
      </c>
    </row>
    <row r="50" spans="1:6" hidden="1" x14ac:dyDescent="0.2">
      <c r="A50">
        <v>0.25</v>
      </c>
      <c r="B50">
        <v>0.25</v>
      </c>
      <c r="C50">
        <v>20</v>
      </c>
      <c r="D50" t="b">
        <v>1</v>
      </c>
      <c r="E50">
        <v>1089.0957954300261</v>
      </c>
      <c r="F50">
        <v>1074.2251392691469</v>
      </c>
    </row>
    <row r="51" spans="1:6" hidden="1" x14ac:dyDescent="0.2">
      <c r="A51">
        <v>0.9</v>
      </c>
      <c r="B51">
        <v>0.5</v>
      </c>
      <c r="C51">
        <v>20</v>
      </c>
      <c r="D51" t="b">
        <v>1</v>
      </c>
      <c r="E51">
        <v>1089.029448724646</v>
      </c>
      <c r="F51">
        <v>1073.8115463751519</v>
      </c>
    </row>
    <row r="52" spans="1:6" hidden="1" x14ac:dyDescent="0.2">
      <c r="A52">
        <v>0.9</v>
      </c>
      <c r="B52">
        <v>0.8</v>
      </c>
      <c r="C52">
        <v>60</v>
      </c>
      <c r="D52" t="b">
        <v>1</v>
      </c>
      <c r="E52">
        <v>1089.009510037429</v>
      </c>
      <c r="F52">
        <v>1090.7683110857399</v>
      </c>
    </row>
    <row r="53" spans="1:6" hidden="1" x14ac:dyDescent="0.2">
      <c r="A53">
        <v>0.9</v>
      </c>
      <c r="B53">
        <v>0.25</v>
      </c>
      <c r="C53">
        <v>20</v>
      </c>
      <c r="D53" t="b">
        <v>1</v>
      </c>
      <c r="E53">
        <v>1088.994529833365</v>
      </c>
      <c r="F53">
        <v>1073.5331027970501</v>
      </c>
    </row>
    <row r="54" spans="1:6" x14ac:dyDescent="0.2">
      <c r="A54">
        <v>0.9</v>
      </c>
      <c r="B54">
        <v>0.5</v>
      </c>
      <c r="C54">
        <v>40</v>
      </c>
      <c r="D54" t="b">
        <v>0</v>
      </c>
      <c r="E54">
        <v>1088.727738862146</v>
      </c>
      <c r="F54">
        <v>1107.5014479980271</v>
      </c>
    </row>
    <row r="55" spans="1:6" hidden="1" x14ac:dyDescent="0.2">
      <c r="A55">
        <v>0.25</v>
      </c>
      <c r="B55">
        <v>0.5</v>
      </c>
      <c r="C55">
        <v>20</v>
      </c>
      <c r="D55" t="b">
        <v>1</v>
      </c>
      <c r="E55">
        <v>1088.4267961504511</v>
      </c>
      <c r="F55">
        <v>1073.8201470056731</v>
      </c>
    </row>
    <row r="56" spans="1:6" hidden="1" x14ac:dyDescent="0.2">
      <c r="A56">
        <v>0.5</v>
      </c>
      <c r="B56">
        <v>0.25</v>
      </c>
      <c r="C56">
        <v>20</v>
      </c>
      <c r="D56" t="b">
        <v>1</v>
      </c>
      <c r="E56">
        <v>1088.1760961389989</v>
      </c>
      <c r="F56">
        <v>1073.162095847026</v>
      </c>
    </row>
    <row r="57" spans="1:6" hidden="1" x14ac:dyDescent="0.2">
      <c r="A57">
        <v>0.5</v>
      </c>
      <c r="B57">
        <v>0.5</v>
      </c>
      <c r="C57">
        <v>20</v>
      </c>
      <c r="D57" t="b">
        <v>1</v>
      </c>
      <c r="E57">
        <v>1088.0611948873679</v>
      </c>
      <c r="F57">
        <v>1073.3004041230531</v>
      </c>
    </row>
    <row r="58" spans="1:6" hidden="1" x14ac:dyDescent="0.2">
      <c r="A58">
        <v>0.9</v>
      </c>
      <c r="B58">
        <v>0.8</v>
      </c>
      <c r="C58">
        <v>20</v>
      </c>
      <c r="D58" t="b">
        <v>1</v>
      </c>
      <c r="E58">
        <v>1087.9890278364301</v>
      </c>
      <c r="F58">
        <v>1073.3305223500299</v>
      </c>
    </row>
    <row r="59" spans="1:6" x14ac:dyDescent="0.2">
      <c r="A59">
        <v>0.25</v>
      </c>
      <c r="B59">
        <v>0.8</v>
      </c>
      <c r="C59">
        <v>40</v>
      </c>
      <c r="D59" t="b">
        <v>0</v>
      </c>
      <c r="E59">
        <v>1087.8125936433521</v>
      </c>
      <c r="F59">
        <v>1107.702107989996</v>
      </c>
    </row>
    <row r="60" spans="1:6" x14ac:dyDescent="0.2">
      <c r="A60">
        <v>0.5</v>
      </c>
      <c r="B60">
        <v>0.8</v>
      </c>
      <c r="C60">
        <v>80</v>
      </c>
      <c r="D60" t="b">
        <v>0</v>
      </c>
      <c r="E60">
        <v>1087.4514569812391</v>
      </c>
      <c r="F60">
        <v>1109.5887698059771</v>
      </c>
    </row>
    <row r="61" spans="1:6" hidden="1" x14ac:dyDescent="0.2">
      <c r="A61">
        <v>0.5</v>
      </c>
      <c r="B61">
        <v>0.8</v>
      </c>
      <c r="C61">
        <v>20</v>
      </c>
      <c r="D61" t="b">
        <v>1</v>
      </c>
      <c r="E61">
        <v>1087.3633951787019</v>
      </c>
      <c r="F61">
        <v>1073.174065263802</v>
      </c>
    </row>
    <row r="62" spans="1:6" x14ac:dyDescent="0.2">
      <c r="A62">
        <v>0.5</v>
      </c>
      <c r="B62">
        <v>0.8</v>
      </c>
      <c r="C62">
        <v>40</v>
      </c>
      <c r="D62" t="b">
        <v>0</v>
      </c>
      <c r="E62">
        <v>1086.637280035189</v>
      </c>
      <c r="F62">
        <v>1105.9416734606209</v>
      </c>
    </row>
    <row r="63" spans="1:6" hidden="1" x14ac:dyDescent="0.2">
      <c r="A63">
        <v>0.25</v>
      </c>
      <c r="B63">
        <v>0.8</v>
      </c>
      <c r="C63">
        <v>20</v>
      </c>
      <c r="D63" t="b">
        <v>1</v>
      </c>
      <c r="E63">
        <v>1086.576321749649</v>
      </c>
      <c r="F63">
        <v>1072.550427638095</v>
      </c>
    </row>
    <row r="64" spans="1:6" x14ac:dyDescent="0.2">
      <c r="A64">
        <v>0.9</v>
      </c>
      <c r="B64">
        <v>0.25</v>
      </c>
      <c r="C64">
        <v>80</v>
      </c>
      <c r="D64" t="b">
        <v>0</v>
      </c>
      <c r="E64">
        <v>1085.7462819752579</v>
      </c>
      <c r="F64">
        <v>1105.112417023453</v>
      </c>
    </row>
    <row r="65" spans="1:6" x14ac:dyDescent="0.2">
      <c r="A65">
        <v>0.9</v>
      </c>
      <c r="B65">
        <v>0.8</v>
      </c>
      <c r="C65">
        <v>40</v>
      </c>
      <c r="D65" t="b">
        <v>0</v>
      </c>
      <c r="E65">
        <v>1084.862113593146</v>
      </c>
      <c r="F65">
        <v>1103.007187094084</v>
      </c>
    </row>
    <row r="66" spans="1:6" x14ac:dyDescent="0.2">
      <c r="A66">
        <v>0.25</v>
      </c>
      <c r="B66">
        <v>0.25</v>
      </c>
      <c r="C66">
        <v>20</v>
      </c>
      <c r="D66" t="b">
        <v>0</v>
      </c>
      <c r="E66">
        <v>1084.2139258266329</v>
      </c>
      <c r="F66">
        <v>1075.763583064564</v>
      </c>
    </row>
    <row r="67" spans="1:6" x14ac:dyDescent="0.2">
      <c r="A67">
        <v>0.9</v>
      </c>
      <c r="B67">
        <v>0.25</v>
      </c>
      <c r="C67">
        <v>20</v>
      </c>
      <c r="D67" t="b">
        <v>0</v>
      </c>
      <c r="E67">
        <v>1084.2127809590449</v>
      </c>
      <c r="F67">
        <v>1075.7622883638769</v>
      </c>
    </row>
    <row r="68" spans="1:6" x14ac:dyDescent="0.2">
      <c r="A68">
        <v>0.5</v>
      </c>
      <c r="B68">
        <v>0.25</v>
      </c>
      <c r="C68">
        <v>20</v>
      </c>
      <c r="D68" t="b">
        <v>0</v>
      </c>
      <c r="E68">
        <v>1084.2123886790621</v>
      </c>
      <c r="F68">
        <v>1075.761985141283</v>
      </c>
    </row>
    <row r="69" spans="1:6" x14ac:dyDescent="0.2">
      <c r="A69">
        <v>0.9</v>
      </c>
      <c r="B69">
        <v>0.5</v>
      </c>
      <c r="C69">
        <v>20</v>
      </c>
      <c r="D69" t="b">
        <v>0</v>
      </c>
      <c r="E69">
        <v>1084.1392362531531</v>
      </c>
      <c r="F69">
        <v>1075.675757971617</v>
      </c>
    </row>
    <row r="70" spans="1:6" x14ac:dyDescent="0.2">
      <c r="A70">
        <v>0.5</v>
      </c>
      <c r="B70">
        <v>0.5</v>
      </c>
      <c r="C70">
        <v>20</v>
      </c>
      <c r="D70" t="b">
        <v>0</v>
      </c>
      <c r="E70">
        <v>1084.1392140030259</v>
      </c>
      <c r="F70">
        <v>1075.6758212873101</v>
      </c>
    </row>
    <row r="71" spans="1:6" x14ac:dyDescent="0.2">
      <c r="A71">
        <v>0.25</v>
      </c>
      <c r="B71">
        <v>0.5</v>
      </c>
      <c r="C71">
        <v>20</v>
      </c>
      <c r="D71" t="b">
        <v>0</v>
      </c>
      <c r="E71">
        <v>1084.139073018873</v>
      </c>
      <c r="F71">
        <v>1075.6757536453711</v>
      </c>
    </row>
    <row r="72" spans="1:6" x14ac:dyDescent="0.2">
      <c r="A72">
        <v>0.5</v>
      </c>
      <c r="B72">
        <v>0.8</v>
      </c>
      <c r="C72">
        <v>20</v>
      </c>
      <c r="D72" t="b">
        <v>0</v>
      </c>
      <c r="E72">
        <v>1083.8253321348809</v>
      </c>
      <c r="F72">
        <v>1075.280681054194</v>
      </c>
    </row>
    <row r="73" spans="1:6" x14ac:dyDescent="0.2">
      <c r="A73">
        <v>0.9</v>
      </c>
      <c r="B73">
        <v>0.8</v>
      </c>
      <c r="C73">
        <v>20</v>
      </c>
      <c r="D73" t="b">
        <v>0</v>
      </c>
      <c r="E73">
        <v>1083.8252398846751</v>
      </c>
      <c r="F73">
        <v>1075.2805023083069</v>
      </c>
    </row>
    <row r="74" spans="1:6" x14ac:dyDescent="0.2">
      <c r="A74">
        <v>0.25</v>
      </c>
      <c r="B74">
        <v>0.8</v>
      </c>
      <c r="C74">
        <v>20</v>
      </c>
      <c r="D74" t="b">
        <v>0</v>
      </c>
      <c r="E74">
        <v>1083.82505250494</v>
      </c>
      <c r="F74">
        <v>1075.2804774197241</v>
      </c>
    </row>
    <row r="75" spans="1:6" x14ac:dyDescent="0.2">
      <c r="A75">
        <v>0.9</v>
      </c>
      <c r="B75">
        <v>0.5</v>
      </c>
      <c r="C75">
        <v>80</v>
      </c>
      <c r="D75" t="b">
        <v>0</v>
      </c>
      <c r="E75">
        <v>1083.7437218378011</v>
      </c>
      <c r="F75">
        <v>1102.6248600765159</v>
      </c>
    </row>
    <row r="76" spans="1:6" hidden="1" x14ac:dyDescent="0.2">
      <c r="A76">
        <v>0.9</v>
      </c>
      <c r="B76">
        <v>0.25</v>
      </c>
      <c r="C76">
        <v>80</v>
      </c>
      <c r="D76" t="b">
        <v>1</v>
      </c>
      <c r="E76">
        <v>1082.516571591301</v>
      </c>
      <c r="F76">
        <v>1082.577374106002</v>
      </c>
    </row>
    <row r="77" spans="1:6" x14ac:dyDescent="0.2">
      <c r="A77">
        <v>0.9</v>
      </c>
      <c r="B77">
        <v>0.8</v>
      </c>
      <c r="C77">
        <v>80</v>
      </c>
      <c r="D77" t="b">
        <v>0</v>
      </c>
      <c r="E77">
        <v>1079.771756519948</v>
      </c>
      <c r="F77">
        <v>1097.611378347086</v>
      </c>
    </row>
    <row r="78" spans="1:6" hidden="1" x14ac:dyDescent="0.2">
      <c r="A78">
        <v>0.9</v>
      </c>
      <c r="B78">
        <v>0.5</v>
      </c>
      <c r="C78">
        <v>80</v>
      </c>
      <c r="D78" t="b">
        <v>1</v>
      </c>
      <c r="E78">
        <v>1079.1348024069921</v>
      </c>
      <c r="F78">
        <v>1078.9602403426099</v>
      </c>
    </row>
    <row r="79" spans="1:6" hidden="1" x14ac:dyDescent="0.2">
      <c r="A79">
        <v>0.9</v>
      </c>
      <c r="B79">
        <v>0.8</v>
      </c>
      <c r="C79">
        <v>80</v>
      </c>
      <c r="D79" t="b">
        <v>1</v>
      </c>
      <c r="E79">
        <v>1071.9721537333869</v>
      </c>
      <c r="F79">
        <v>1071.2718654135349</v>
      </c>
    </row>
  </sheetData>
  <autoFilter ref="A1:F79" xr:uid="{00000000-0001-0000-0000-000000000000}">
    <filterColumn colId="3">
      <filters>
        <filter val="FALS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86765-4672-6C4B-BC56-AF761FEAD071}">
  <dimension ref="A1:K40"/>
  <sheetViews>
    <sheetView tabSelected="1" zoomScale="116" workbookViewId="0">
      <selection activeCell="H13" sqref="H13"/>
    </sheetView>
  </sheetViews>
  <sheetFormatPr baseColWidth="10" defaultRowHeight="15" x14ac:dyDescent="0.2"/>
  <cols>
    <col min="1" max="3" width="10.6640625" customWidth="1"/>
    <col min="4" max="4" width="10.6640625" hidden="1" customWidth="1"/>
    <col min="5" max="5" width="12.5" style="6" bestFit="1" customWidth="1"/>
    <col min="6" max="6" width="18.33203125" hidden="1" customWidth="1"/>
    <col min="7" max="7" width="18.33203125" style="6" customWidth="1"/>
    <col min="8" max="8" width="23.6640625" bestFit="1" customWidth="1"/>
    <col min="9" max="9" width="8.1640625" customWidth="1"/>
  </cols>
  <sheetData>
    <row r="1" spans="1:11" ht="16" thickBot="1" x14ac:dyDescent="0.25">
      <c r="A1" s="1" t="s">
        <v>0</v>
      </c>
      <c r="B1" s="1" t="s">
        <v>1</v>
      </c>
      <c r="C1" s="1" t="s">
        <v>2</v>
      </c>
      <c r="D1" s="1" t="s">
        <v>4</v>
      </c>
      <c r="E1" s="5" t="s">
        <v>7</v>
      </c>
      <c r="F1" s="1" t="s">
        <v>5</v>
      </c>
      <c r="G1" s="7" t="s">
        <v>8</v>
      </c>
      <c r="H1" s="2" t="s">
        <v>9</v>
      </c>
      <c r="I1" s="3"/>
    </row>
    <row r="2" spans="1:11" x14ac:dyDescent="0.2">
      <c r="A2">
        <v>0</v>
      </c>
      <c r="B2">
        <v>0.25</v>
      </c>
      <c r="C2">
        <v>20</v>
      </c>
      <c r="D2" s="4">
        <v>1901.3540879584241</v>
      </c>
      <c r="E2" s="6">
        <f>(D2-1000)/1000</f>
        <v>0.90135408795842409</v>
      </c>
      <c r="F2" s="4">
        <v>2328.8513115669198</v>
      </c>
      <c r="G2" s="6">
        <f>(F2-1000)/1000</f>
        <v>1.3288513115669198</v>
      </c>
      <c r="H2" s="8">
        <f>G2-E2</f>
        <v>0.42749722360849574</v>
      </c>
      <c r="J2" s="9" t="s">
        <v>6</v>
      </c>
      <c r="K2" s="10" t="s">
        <v>10</v>
      </c>
    </row>
    <row r="3" spans="1:11" x14ac:dyDescent="0.2">
      <c r="A3">
        <v>0</v>
      </c>
      <c r="B3">
        <v>0.5</v>
      </c>
      <c r="C3">
        <v>20</v>
      </c>
      <c r="D3" s="4">
        <v>1844.2329648387349</v>
      </c>
      <c r="E3" s="6">
        <f t="shared" ref="E3:E40" si="0">(D3-1000)/1000</f>
        <v>0.84423296483873489</v>
      </c>
      <c r="F3" s="4">
        <v>2258.8871721475771</v>
      </c>
      <c r="G3" s="6">
        <f t="shared" ref="G3:G40" si="1">(F3-1000)/1000</f>
        <v>1.2588871721475772</v>
      </c>
      <c r="H3" s="8">
        <f t="shared" ref="H3:H40" si="2">G3-E3</f>
        <v>0.41465420730884228</v>
      </c>
      <c r="J3" s="11">
        <v>0</v>
      </c>
      <c r="K3" s="12">
        <f>AVERAGEIF(A:A,J3,H:H)</f>
        <v>0.40910948837511568</v>
      </c>
    </row>
    <row r="4" spans="1:11" x14ac:dyDescent="0.2">
      <c r="A4">
        <v>0</v>
      </c>
      <c r="B4">
        <v>0.8</v>
      </c>
      <c r="C4">
        <v>20</v>
      </c>
      <c r="D4" s="4">
        <v>1720.005061790584</v>
      </c>
      <c r="E4" s="6">
        <f t="shared" si="0"/>
        <v>0.72000506179058399</v>
      </c>
      <c r="F4" s="4">
        <v>2105.182095998593</v>
      </c>
      <c r="G4" s="6">
        <f t="shared" si="1"/>
        <v>1.105182095998593</v>
      </c>
      <c r="H4" s="8">
        <f t="shared" si="2"/>
        <v>0.38517703420800897</v>
      </c>
      <c r="J4" s="11">
        <v>0.25</v>
      </c>
      <c r="K4" s="12">
        <f>AVERAGEIF(A:A,J4,H:H)</f>
        <v>2.5987195189443757E-2</v>
      </c>
    </row>
    <row r="5" spans="1:11" x14ac:dyDescent="0.2">
      <c r="A5">
        <v>0.25</v>
      </c>
      <c r="B5">
        <v>0.25</v>
      </c>
      <c r="C5">
        <v>80</v>
      </c>
      <c r="D5" s="4">
        <v>1134.965629945875</v>
      </c>
      <c r="E5" s="6">
        <f t="shared" si="0"/>
        <v>0.13496562994587499</v>
      </c>
      <c r="F5" s="4">
        <v>1176.256125511575</v>
      </c>
      <c r="G5" s="6">
        <f t="shared" si="1"/>
        <v>0.17625612551157496</v>
      </c>
      <c r="H5" s="8">
        <f t="shared" si="2"/>
        <v>4.1290495565699969E-2</v>
      </c>
      <c r="J5" s="11">
        <v>0.5</v>
      </c>
      <c r="K5" s="12">
        <f>AVERAGEIF(A:A,J5,H:H)</f>
        <v>1.9449342247157237E-2</v>
      </c>
    </row>
    <row r="6" spans="1:11" ht="16" thickBot="1" x14ac:dyDescent="0.25">
      <c r="A6">
        <v>0.25</v>
      </c>
      <c r="B6">
        <v>0.5</v>
      </c>
      <c r="C6">
        <v>80</v>
      </c>
      <c r="D6" s="4">
        <v>1128.755156119011</v>
      </c>
      <c r="E6" s="6">
        <f t="shared" si="0"/>
        <v>0.12875515611901095</v>
      </c>
      <c r="F6" s="4">
        <v>1168.023471929894</v>
      </c>
      <c r="G6" s="6">
        <f t="shared" si="1"/>
        <v>0.16802347192989395</v>
      </c>
      <c r="H6" s="8">
        <f t="shared" si="2"/>
        <v>3.9268315810882998E-2</v>
      </c>
      <c r="J6" s="13">
        <v>0.9</v>
      </c>
      <c r="K6" s="14">
        <f>AVERAGEIF(A:A,J6,H:H)</f>
        <v>1.6139265526104469E-2</v>
      </c>
    </row>
    <row r="7" spans="1:11" x14ac:dyDescent="0.2">
      <c r="A7">
        <v>0.25</v>
      </c>
      <c r="B7">
        <v>0.25</v>
      </c>
      <c r="C7">
        <v>60</v>
      </c>
      <c r="D7" s="4">
        <v>1123.4245675669381</v>
      </c>
      <c r="E7" s="6">
        <f t="shared" si="0"/>
        <v>0.12342456756693809</v>
      </c>
      <c r="F7" s="4">
        <v>1179.245649870214</v>
      </c>
      <c r="G7" s="6">
        <f t="shared" si="1"/>
        <v>0.17924564987021405</v>
      </c>
      <c r="H7" s="8">
        <f t="shared" si="2"/>
        <v>5.5821082303275954E-2</v>
      </c>
    </row>
    <row r="8" spans="1:11" x14ac:dyDescent="0.2">
      <c r="A8">
        <v>0.25</v>
      </c>
      <c r="B8">
        <v>0.5</v>
      </c>
      <c r="C8">
        <v>60</v>
      </c>
      <c r="D8" s="4">
        <v>1118.157553839512</v>
      </c>
      <c r="E8" s="6">
        <f t="shared" si="0"/>
        <v>0.11815755383951204</v>
      </c>
      <c r="F8" s="4">
        <v>1172.013191035001</v>
      </c>
      <c r="G8" s="6">
        <f t="shared" si="1"/>
        <v>0.17201319103500101</v>
      </c>
      <c r="H8" s="8">
        <f t="shared" si="2"/>
        <v>5.385563719548897E-2</v>
      </c>
    </row>
    <row r="9" spans="1:11" x14ac:dyDescent="0.2">
      <c r="A9">
        <v>0.25</v>
      </c>
      <c r="B9">
        <v>0.8</v>
      </c>
      <c r="C9">
        <v>80</v>
      </c>
      <c r="D9" s="4">
        <v>1112.7536086298089</v>
      </c>
      <c r="E9" s="6">
        <f t="shared" si="0"/>
        <v>0.11275360862980892</v>
      </c>
      <c r="F9" s="4">
        <v>1147.936533506112</v>
      </c>
      <c r="G9" s="6">
        <f t="shared" si="1"/>
        <v>0.14793653350611202</v>
      </c>
      <c r="H9" s="8">
        <f t="shared" si="2"/>
        <v>3.5182924876303104E-2</v>
      </c>
    </row>
    <row r="10" spans="1:11" x14ac:dyDescent="0.2">
      <c r="A10">
        <v>0.5</v>
      </c>
      <c r="B10">
        <v>0.25</v>
      </c>
      <c r="C10">
        <v>60</v>
      </c>
      <c r="D10" s="4">
        <v>1110.881028180052</v>
      </c>
      <c r="E10" s="6">
        <f t="shared" si="0"/>
        <v>0.11088102818005199</v>
      </c>
      <c r="F10" s="4">
        <v>1156.1965279256649</v>
      </c>
      <c r="G10" s="6">
        <f t="shared" si="1"/>
        <v>0.15619652792566491</v>
      </c>
      <c r="H10" s="8">
        <f t="shared" si="2"/>
        <v>4.5315499745612914E-2</v>
      </c>
    </row>
    <row r="11" spans="1:11" x14ac:dyDescent="0.2">
      <c r="A11">
        <v>0.25</v>
      </c>
      <c r="B11">
        <v>0.8</v>
      </c>
      <c r="C11">
        <v>60</v>
      </c>
      <c r="D11" s="4">
        <v>1108.102684538718</v>
      </c>
      <c r="E11" s="6">
        <f t="shared" si="0"/>
        <v>0.10810268453871799</v>
      </c>
      <c r="F11" s="4">
        <v>1158.041885540759</v>
      </c>
      <c r="G11" s="6">
        <f t="shared" si="1"/>
        <v>0.15804188554075904</v>
      </c>
      <c r="H11" s="8">
        <f t="shared" si="2"/>
        <v>4.993920100204105E-2</v>
      </c>
    </row>
    <row r="12" spans="1:11" x14ac:dyDescent="0.2">
      <c r="A12">
        <v>0.5</v>
      </c>
      <c r="B12">
        <v>0.5</v>
      </c>
      <c r="C12">
        <v>60</v>
      </c>
      <c r="D12" s="4">
        <v>1107.478434591824</v>
      </c>
      <c r="E12" s="6">
        <f t="shared" si="0"/>
        <v>0.107478434591824</v>
      </c>
      <c r="F12" s="4">
        <v>1151.0327147051919</v>
      </c>
      <c r="G12" s="6">
        <f t="shared" si="1"/>
        <v>0.15103271470519189</v>
      </c>
      <c r="H12" s="8">
        <f t="shared" si="2"/>
        <v>4.3554280113367885E-2</v>
      </c>
    </row>
    <row r="13" spans="1:11" x14ac:dyDescent="0.2">
      <c r="A13">
        <v>0.9</v>
      </c>
      <c r="B13">
        <v>0.25</v>
      </c>
      <c r="C13">
        <v>60</v>
      </c>
      <c r="D13" s="4">
        <v>1106.0728209782719</v>
      </c>
      <c r="E13" s="6">
        <f t="shared" si="0"/>
        <v>0.10607282097827192</v>
      </c>
      <c r="F13" s="4">
        <v>1143.497475203696</v>
      </c>
      <c r="G13" s="6">
        <f t="shared" si="1"/>
        <v>0.14349747520369602</v>
      </c>
      <c r="H13" s="8">
        <f t="shared" si="2"/>
        <v>3.7424654225424098E-2</v>
      </c>
    </row>
    <row r="14" spans="1:11" x14ac:dyDescent="0.2">
      <c r="A14">
        <v>0.9</v>
      </c>
      <c r="B14">
        <v>0.5</v>
      </c>
      <c r="C14">
        <v>60</v>
      </c>
      <c r="D14" s="4">
        <v>1103.3708913640021</v>
      </c>
      <c r="E14" s="6">
        <f t="shared" si="0"/>
        <v>0.10337089136400208</v>
      </c>
      <c r="F14" s="4">
        <v>1139.47707128039</v>
      </c>
      <c r="G14" s="6">
        <f t="shared" si="1"/>
        <v>0.13947707128038997</v>
      </c>
      <c r="H14" s="8">
        <f t="shared" si="2"/>
        <v>3.6106179916387884E-2</v>
      </c>
    </row>
    <row r="15" spans="1:11" x14ac:dyDescent="0.2">
      <c r="A15">
        <v>0.5</v>
      </c>
      <c r="B15">
        <v>0.25</v>
      </c>
      <c r="C15">
        <v>80</v>
      </c>
      <c r="D15" s="4">
        <v>1100.4750459737991</v>
      </c>
      <c r="E15" s="6">
        <f t="shared" si="0"/>
        <v>0.10047504597379907</v>
      </c>
      <c r="F15" s="4">
        <v>1124.8946282396689</v>
      </c>
      <c r="G15" s="6">
        <f t="shared" si="1"/>
        <v>0.12489462823966892</v>
      </c>
      <c r="H15" s="8">
        <f t="shared" si="2"/>
        <v>2.4419582265869849E-2</v>
      </c>
    </row>
    <row r="16" spans="1:11" x14ac:dyDescent="0.2">
      <c r="A16">
        <v>0.5</v>
      </c>
      <c r="B16">
        <v>0.8</v>
      </c>
      <c r="C16">
        <v>60</v>
      </c>
      <c r="D16" s="4">
        <v>1100.2171173357931</v>
      </c>
      <c r="E16" s="6">
        <f t="shared" si="0"/>
        <v>0.1002171173357931</v>
      </c>
      <c r="F16" s="4">
        <v>1139.9204045351689</v>
      </c>
      <c r="G16" s="6">
        <f t="shared" si="1"/>
        <v>0.13992040453516894</v>
      </c>
      <c r="H16" s="8">
        <f t="shared" si="2"/>
        <v>3.9703287199375839E-2</v>
      </c>
    </row>
    <row r="17" spans="1:8" x14ac:dyDescent="0.2">
      <c r="A17">
        <v>0.9</v>
      </c>
      <c r="B17">
        <v>0.8</v>
      </c>
      <c r="C17">
        <v>60</v>
      </c>
      <c r="D17" s="4">
        <v>1096.6100439534821</v>
      </c>
      <c r="E17" s="6">
        <f t="shared" si="0"/>
        <v>9.6610043953482092E-2</v>
      </c>
      <c r="F17" s="4">
        <v>1130.1122272590039</v>
      </c>
      <c r="G17" s="6">
        <f t="shared" si="1"/>
        <v>0.13011222725900393</v>
      </c>
      <c r="H17" s="8">
        <f t="shared" si="2"/>
        <v>3.3502183305521835E-2</v>
      </c>
    </row>
    <row r="18" spans="1:8" x14ac:dyDescent="0.2">
      <c r="A18">
        <v>0.5</v>
      </c>
      <c r="B18">
        <v>0.5</v>
      </c>
      <c r="C18">
        <v>80</v>
      </c>
      <c r="D18" s="4">
        <v>1095.7216902764289</v>
      </c>
      <c r="E18" s="6">
        <f t="shared" si="0"/>
        <v>9.5721690276428947E-2</v>
      </c>
      <c r="F18" s="4">
        <v>1119.424084605346</v>
      </c>
      <c r="G18" s="6">
        <f t="shared" si="1"/>
        <v>0.11942408460534602</v>
      </c>
      <c r="H18" s="8">
        <f t="shared" si="2"/>
        <v>2.3702394328917076E-2</v>
      </c>
    </row>
    <row r="19" spans="1:8" x14ac:dyDescent="0.2">
      <c r="A19">
        <v>0.25</v>
      </c>
      <c r="B19">
        <v>0.25</v>
      </c>
      <c r="C19">
        <v>40</v>
      </c>
      <c r="D19" s="4">
        <v>1094.4966147457101</v>
      </c>
      <c r="E19" s="6">
        <f t="shared" si="0"/>
        <v>9.449661474571007E-2</v>
      </c>
      <c r="F19" s="4">
        <v>1115.7521392307519</v>
      </c>
      <c r="G19" s="6">
        <f t="shared" si="1"/>
        <v>0.11575213923075194</v>
      </c>
      <c r="H19" s="8">
        <f t="shared" si="2"/>
        <v>2.1255524485041866E-2</v>
      </c>
    </row>
    <row r="20" spans="1:8" x14ac:dyDescent="0.2">
      <c r="A20">
        <v>0.5</v>
      </c>
      <c r="B20">
        <v>0.25</v>
      </c>
      <c r="C20">
        <v>40</v>
      </c>
      <c r="D20" s="4">
        <v>1093.1158443244869</v>
      </c>
      <c r="E20" s="6">
        <f t="shared" si="0"/>
        <v>9.311584432448694E-2</v>
      </c>
      <c r="F20" s="4">
        <v>1113.6863419660119</v>
      </c>
      <c r="G20" s="6">
        <f t="shared" si="1"/>
        <v>0.11368634196601192</v>
      </c>
      <c r="H20" s="8">
        <f t="shared" si="2"/>
        <v>2.0570497641524979E-2</v>
      </c>
    </row>
    <row r="21" spans="1:8" x14ac:dyDescent="0.2">
      <c r="A21">
        <v>0.25</v>
      </c>
      <c r="B21">
        <v>0.5</v>
      </c>
      <c r="C21">
        <v>40</v>
      </c>
      <c r="D21" s="4">
        <v>1092.2859274930511</v>
      </c>
      <c r="E21" s="6">
        <f t="shared" si="0"/>
        <v>9.2285927493051076E-2</v>
      </c>
      <c r="F21" s="4">
        <v>1113.0878114017851</v>
      </c>
      <c r="G21" s="6">
        <f t="shared" si="1"/>
        <v>0.11308781140178507</v>
      </c>
      <c r="H21" s="8">
        <f t="shared" si="2"/>
        <v>2.0801883908733998E-2</v>
      </c>
    </row>
    <row r="22" spans="1:8" x14ac:dyDescent="0.2">
      <c r="A22">
        <v>0.5</v>
      </c>
      <c r="B22">
        <v>0.5</v>
      </c>
      <c r="C22">
        <v>40</v>
      </c>
      <c r="D22" s="4">
        <v>1090.9734669908769</v>
      </c>
      <c r="E22" s="6">
        <f t="shared" si="0"/>
        <v>9.0973466990876883E-2</v>
      </c>
      <c r="F22" s="4">
        <v>1111.1167737461069</v>
      </c>
      <c r="G22" s="6">
        <f t="shared" si="1"/>
        <v>0.1111167737461069</v>
      </c>
      <c r="H22" s="8">
        <f t="shared" si="2"/>
        <v>2.0143306755230017E-2</v>
      </c>
    </row>
    <row r="23" spans="1:8" x14ac:dyDescent="0.2">
      <c r="A23">
        <v>0.9</v>
      </c>
      <c r="B23">
        <v>0.25</v>
      </c>
      <c r="C23">
        <v>40</v>
      </c>
      <c r="D23" s="4">
        <v>1090.5503507672249</v>
      </c>
      <c r="E23" s="6">
        <f t="shared" si="0"/>
        <v>9.0550350767224924E-2</v>
      </c>
      <c r="F23" s="4">
        <v>1109.6415503353501</v>
      </c>
      <c r="G23" s="6">
        <f t="shared" si="1"/>
        <v>0.10964155033535007</v>
      </c>
      <c r="H23" s="8">
        <f t="shared" si="2"/>
        <v>1.9091199568125147E-2</v>
      </c>
    </row>
    <row r="24" spans="1:8" x14ac:dyDescent="0.2">
      <c r="A24">
        <v>0.9</v>
      </c>
      <c r="B24">
        <v>0.5</v>
      </c>
      <c r="C24">
        <v>40</v>
      </c>
      <c r="D24" s="4">
        <v>1088.727738862146</v>
      </c>
      <c r="E24" s="6">
        <f t="shared" si="0"/>
        <v>8.8727738862145994E-2</v>
      </c>
      <c r="F24" s="4">
        <v>1107.5014479980271</v>
      </c>
      <c r="G24" s="6">
        <f t="shared" si="1"/>
        <v>0.10750144799802706</v>
      </c>
      <c r="H24" s="8">
        <f t="shared" si="2"/>
        <v>1.877370913588107E-2</v>
      </c>
    </row>
    <row r="25" spans="1:8" x14ac:dyDescent="0.2">
      <c r="A25">
        <v>0.25</v>
      </c>
      <c r="B25">
        <v>0.8</v>
      </c>
      <c r="C25">
        <v>40</v>
      </c>
      <c r="D25" s="4">
        <v>1087.8125936433521</v>
      </c>
      <c r="E25" s="6">
        <f t="shared" si="0"/>
        <v>8.7812593643352102E-2</v>
      </c>
      <c r="F25" s="4">
        <v>1107.702107989996</v>
      </c>
      <c r="G25" s="6">
        <f t="shared" si="1"/>
        <v>0.10770210798999597</v>
      </c>
      <c r="H25" s="8">
        <f t="shared" si="2"/>
        <v>1.9889514346643863E-2</v>
      </c>
    </row>
    <row r="26" spans="1:8" x14ac:dyDescent="0.2">
      <c r="A26">
        <v>0.5</v>
      </c>
      <c r="B26">
        <v>0.8</v>
      </c>
      <c r="C26">
        <v>80</v>
      </c>
      <c r="D26" s="4">
        <v>1087.4514569812391</v>
      </c>
      <c r="E26" s="6">
        <f t="shared" si="0"/>
        <v>8.7451456981239059E-2</v>
      </c>
      <c r="F26" s="4">
        <v>1109.5887698059771</v>
      </c>
      <c r="G26" s="6">
        <f t="shared" si="1"/>
        <v>0.10958876980597711</v>
      </c>
      <c r="H26" s="8">
        <f t="shared" si="2"/>
        <v>2.2137312824738048E-2</v>
      </c>
    </row>
    <row r="27" spans="1:8" x14ac:dyDescent="0.2">
      <c r="A27">
        <v>0.5</v>
      </c>
      <c r="B27">
        <v>0.8</v>
      </c>
      <c r="C27">
        <v>40</v>
      </c>
      <c r="D27" s="4">
        <v>1086.637280035189</v>
      </c>
      <c r="E27" s="6">
        <f t="shared" si="0"/>
        <v>8.6637280035188946E-2</v>
      </c>
      <c r="F27" s="4">
        <v>1105.9416734606209</v>
      </c>
      <c r="G27" s="6">
        <f t="shared" si="1"/>
        <v>0.1059416734606209</v>
      </c>
      <c r="H27" s="8">
        <f t="shared" si="2"/>
        <v>1.9304393425431957E-2</v>
      </c>
    </row>
    <row r="28" spans="1:8" x14ac:dyDescent="0.2">
      <c r="A28">
        <v>0.9</v>
      </c>
      <c r="B28">
        <v>0.25</v>
      </c>
      <c r="C28">
        <v>80</v>
      </c>
      <c r="D28" s="4">
        <v>1085.7462819752579</v>
      </c>
      <c r="E28" s="6">
        <f t="shared" si="0"/>
        <v>8.5746281975257937E-2</v>
      </c>
      <c r="F28" s="4">
        <v>1105.112417023453</v>
      </c>
      <c r="G28" s="6">
        <f t="shared" si="1"/>
        <v>0.10511241702345296</v>
      </c>
      <c r="H28" s="8">
        <f t="shared" si="2"/>
        <v>1.9366135048195024E-2</v>
      </c>
    </row>
    <row r="29" spans="1:8" x14ac:dyDescent="0.2">
      <c r="A29">
        <v>0.9</v>
      </c>
      <c r="B29">
        <v>0.8</v>
      </c>
      <c r="C29">
        <v>40</v>
      </c>
      <c r="D29" s="4">
        <v>1084.862113593146</v>
      </c>
      <c r="E29" s="6">
        <f t="shared" si="0"/>
        <v>8.486211359314598E-2</v>
      </c>
      <c r="F29" s="4">
        <v>1103.007187094084</v>
      </c>
      <c r="G29" s="6">
        <f t="shared" si="1"/>
        <v>0.10300718709408398</v>
      </c>
      <c r="H29" s="8">
        <f t="shared" si="2"/>
        <v>1.8145073500937997E-2</v>
      </c>
    </row>
    <row r="30" spans="1:8" x14ac:dyDescent="0.2">
      <c r="A30">
        <v>0.25</v>
      </c>
      <c r="B30">
        <v>0.25</v>
      </c>
      <c r="C30">
        <v>20</v>
      </c>
      <c r="D30" s="4">
        <v>1084.2139258266329</v>
      </c>
      <c r="E30" s="6">
        <f t="shared" si="0"/>
        <v>8.4213925826632924E-2</v>
      </c>
      <c r="F30" s="4">
        <v>1075.763583064564</v>
      </c>
      <c r="G30" s="6">
        <f t="shared" si="1"/>
        <v>7.5763583064564044E-2</v>
      </c>
      <c r="H30" s="8">
        <f t="shared" si="2"/>
        <v>-8.4503427620688798E-3</v>
      </c>
    </row>
    <row r="31" spans="1:8" x14ac:dyDescent="0.2">
      <c r="A31">
        <v>0.9</v>
      </c>
      <c r="B31">
        <v>0.25</v>
      </c>
      <c r="C31">
        <v>20</v>
      </c>
      <c r="D31" s="4">
        <v>1084.2127809590449</v>
      </c>
      <c r="E31" s="6">
        <f t="shared" si="0"/>
        <v>8.4212780959044956E-2</v>
      </c>
      <c r="F31" s="4">
        <v>1075.7622883638769</v>
      </c>
      <c r="G31" s="6">
        <f t="shared" si="1"/>
        <v>7.5762288363876912E-2</v>
      </c>
      <c r="H31" s="8">
        <f t="shared" si="2"/>
        <v>-8.4504925951680437E-3</v>
      </c>
    </row>
    <row r="32" spans="1:8" x14ac:dyDescent="0.2">
      <c r="A32">
        <v>0.5</v>
      </c>
      <c r="B32">
        <v>0.25</v>
      </c>
      <c r="C32">
        <v>20</v>
      </c>
      <c r="D32" s="4">
        <v>1084.2123886790621</v>
      </c>
      <c r="E32" s="6">
        <f t="shared" si="0"/>
        <v>8.4212388679062083E-2</v>
      </c>
      <c r="F32" s="4">
        <v>1075.761985141283</v>
      </c>
      <c r="G32" s="6">
        <f t="shared" si="1"/>
        <v>7.5761985141283045E-2</v>
      </c>
      <c r="H32" s="8">
        <f t="shared" si="2"/>
        <v>-8.4504035377790387E-3</v>
      </c>
    </row>
    <row r="33" spans="1:8" x14ac:dyDescent="0.2">
      <c r="A33">
        <v>0.9</v>
      </c>
      <c r="B33">
        <v>0.5</v>
      </c>
      <c r="C33">
        <v>20</v>
      </c>
      <c r="D33" s="4">
        <v>1084.1392362531531</v>
      </c>
      <c r="E33" s="6">
        <f t="shared" si="0"/>
        <v>8.413923625315306E-2</v>
      </c>
      <c r="F33" s="4">
        <v>1075.675757971617</v>
      </c>
      <c r="G33" s="6">
        <f t="shared" si="1"/>
        <v>7.5675757971617033E-2</v>
      </c>
      <c r="H33" s="8">
        <f t="shared" si="2"/>
        <v>-8.4634782815360271E-3</v>
      </c>
    </row>
    <row r="34" spans="1:8" x14ac:dyDescent="0.2">
      <c r="A34">
        <v>0.5</v>
      </c>
      <c r="B34">
        <v>0.5</v>
      </c>
      <c r="C34">
        <v>20</v>
      </c>
      <c r="D34" s="4">
        <v>1084.1392140030259</v>
      </c>
      <c r="E34" s="6">
        <f t="shared" si="0"/>
        <v>8.4139214003025931E-2</v>
      </c>
      <c r="F34" s="4">
        <v>1075.6758212873101</v>
      </c>
      <c r="G34" s="6">
        <f t="shared" si="1"/>
        <v>7.5675821287310097E-2</v>
      </c>
      <c r="H34" s="8">
        <f t="shared" si="2"/>
        <v>-8.463392715715834E-3</v>
      </c>
    </row>
    <row r="35" spans="1:8" x14ac:dyDescent="0.2">
      <c r="A35">
        <v>0.25</v>
      </c>
      <c r="B35">
        <v>0.5</v>
      </c>
      <c r="C35">
        <v>20</v>
      </c>
      <c r="D35" s="4">
        <v>1084.139073018873</v>
      </c>
      <c r="E35" s="6">
        <f t="shared" si="0"/>
        <v>8.4139073018872981E-2</v>
      </c>
      <c r="F35" s="4">
        <v>1075.6757536453711</v>
      </c>
      <c r="G35" s="6">
        <f t="shared" si="1"/>
        <v>7.5675753645371061E-2</v>
      </c>
      <c r="H35" s="8">
        <f t="shared" si="2"/>
        <v>-8.4633193735019208E-3</v>
      </c>
    </row>
    <row r="36" spans="1:8" x14ac:dyDescent="0.2">
      <c r="A36">
        <v>0.5</v>
      </c>
      <c r="B36">
        <v>0.8</v>
      </c>
      <c r="C36">
        <v>20</v>
      </c>
      <c r="D36" s="4">
        <v>1083.8253321348809</v>
      </c>
      <c r="E36" s="6">
        <f t="shared" si="0"/>
        <v>8.3825332134880914E-2</v>
      </c>
      <c r="F36" s="4">
        <v>1075.280681054194</v>
      </c>
      <c r="G36" s="6">
        <f t="shared" si="1"/>
        <v>7.5280681054194026E-2</v>
      </c>
      <c r="H36" s="8">
        <f t="shared" si="2"/>
        <v>-8.5446510806868881E-3</v>
      </c>
    </row>
    <row r="37" spans="1:8" x14ac:dyDescent="0.2">
      <c r="A37">
        <v>0.9</v>
      </c>
      <c r="B37">
        <v>0.8</v>
      </c>
      <c r="C37">
        <v>20</v>
      </c>
      <c r="D37" s="4">
        <v>1083.8252398846751</v>
      </c>
      <c r="E37" s="6">
        <f t="shared" si="0"/>
        <v>8.3825239884675051E-2</v>
      </c>
      <c r="F37" s="4">
        <v>1075.2805023083069</v>
      </c>
      <c r="G37" s="6">
        <f t="shared" si="1"/>
        <v>7.5280502308306949E-2</v>
      </c>
      <c r="H37" s="8">
        <f t="shared" si="2"/>
        <v>-8.5447375763681027E-3</v>
      </c>
    </row>
    <row r="38" spans="1:8" x14ac:dyDescent="0.2">
      <c r="A38">
        <v>0.25</v>
      </c>
      <c r="B38">
        <v>0.8</v>
      </c>
      <c r="C38">
        <v>20</v>
      </c>
      <c r="D38" s="4">
        <v>1083.82505250494</v>
      </c>
      <c r="E38" s="6">
        <f t="shared" si="0"/>
        <v>8.3825052504940004E-2</v>
      </c>
      <c r="F38" s="4">
        <v>1075.2804774197241</v>
      </c>
      <c r="G38" s="6">
        <f t="shared" si="1"/>
        <v>7.5280477419724087E-2</v>
      </c>
      <c r="H38" s="8">
        <f t="shared" si="2"/>
        <v>-8.5445750852159164E-3</v>
      </c>
    </row>
    <row r="39" spans="1:8" x14ac:dyDescent="0.2">
      <c r="A39">
        <v>0.9</v>
      </c>
      <c r="B39">
        <v>0.5</v>
      </c>
      <c r="C39">
        <v>80</v>
      </c>
      <c r="D39" s="4">
        <v>1083.7437218378011</v>
      </c>
      <c r="E39" s="6">
        <f t="shared" si="0"/>
        <v>8.3743721837801099E-2</v>
      </c>
      <c r="F39" s="4">
        <v>1102.6248600765159</v>
      </c>
      <c r="G39" s="6">
        <f t="shared" si="1"/>
        <v>0.10262486007651592</v>
      </c>
      <c r="H39" s="8">
        <f t="shared" si="2"/>
        <v>1.8881138238714817E-2</v>
      </c>
    </row>
    <row r="40" spans="1:8" x14ac:dyDescent="0.2">
      <c r="A40">
        <v>0.9</v>
      </c>
      <c r="B40">
        <v>0.8</v>
      </c>
      <c r="C40">
        <v>80</v>
      </c>
      <c r="D40" s="4">
        <v>1079.771756519948</v>
      </c>
      <c r="E40" s="6">
        <f t="shared" si="0"/>
        <v>7.9771756519947987E-2</v>
      </c>
      <c r="F40" s="4">
        <v>1097.611378347086</v>
      </c>
      <c r="G40" s="6">
        <f t="shared" si="1"/>
        <v>9.761137834708597E-2</v>
      </c>
      <c r="H40" s="8">
        <f t="shared" si="2"/>
        <v>1.7839621827137983E-2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false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Burak Kara</cp:lastModifiedBy>
  <dcterms:created xsi:type="dcterms:W3CDTF">2026-01-04T10:45:56Z</dcterms:created>
  <dcterms:modified xsi:type="dcterms:W3CDTF">2026-01-04T20:33:26Z</dcterms:modified>
</cp:coreProperties>
</file>